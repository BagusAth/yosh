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anduan" sheetId="1" state="visible" r:id="rId3"/>
    <sheet name="Rater2" sheetId="2" state="visible" r:id="rId4"/>
    <sheet name="Progres" sheetId="3" state="visible" r:id="rId5"/>
    <sheet name="Daftar" sheetId="4" state="hidden" r:id="rId6"/>
  </sheets>
  <definedNames>
    <definedName function="false" hidden="true" localSheetId="1" name="_xlnm._FilterDatabase" vbProcedure="false">Rater2!$A$1:$K$31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<sst xmlns="http://schemas.openxmlformats.org/spreadsheetml/2006/main" count="187" uniqueCount="108">
  <si>
    <t xml:space="preserve">Audit label manual — rater 2 (opsional, 30 citra)</t>
  </si>
  <si>
    <t xml:space="preserve">Isi sheet "Rater2" (30 citra). Sel kuning adalah sel yang diisi; baris berubah hijau setelah Kategori utama terisi.</t>
  </si>
  <si>
    <t xml:space="preserve">Langkah</t>
  </si>
  <si>
    <t xml:space="preserve">1) Klik "Buka" di kolom Gambar (atau buka gambar/Annn.jpg). Kiri citra asli, kanan kotak label bernomor.</t>
  </si>
  <si>
    <t xml:space="preserve">2) Bandingkan kedua panel. Cari daun bergejala tanpa kotak, kotak salah kelas, kotak tidak pas, atau kotak ganda.</t>
  </si>
  <si>
    <t xml:space="preserve">3) Pilih Kategori utama (yang paling menjelaskan kualitas label atau kesulitan citra), lalu kolom lain bila relevan.</t>
  </si>
  <si>
    <t xml:space="preserve">4) Jangan membuka folder _kunci sebelum semua citra selesai dinilai. Urutan citra sengaja diacak.</t>
  </si>
  <si>
    <t xml:space="preserve">5) Simpan file secara berkala. Perkiraan waktu: 1–2 menit per citra.</t>
  </si>
  <si>
    <t xml:space="preserve">Definisi kategori</t>
  </si>
  <si>
    <t xml:space="preserve">Kategori</t>
  </si>
  <si>
    <t xml:space="preserve">Gunakan bila</t>
  </si>
  <si>
    <t xml:space="preserve">Anotasi tidak lengkap</t>
  </si>
  <si>
    <t xml:space="preserve">Ada daun bergejala (atau daun sehat pada citra HEALTHY) yang jelas terlihat tetapi tidak diberi kotak.</t>
  </si>
  <si>
    <t xml:space="preserve">Kotak bersarang/ganda</t>
  </si>
  <si>
    <t xml:space="preserve">Kotak berada di dalam kotak lain, atau satu objek diberi lebih dari satu kotak.</t>
  </si>
  <si>
    <t xml:space="preserve">Kelas ambigu/salah</t>
  </si>
  <si>
    <t xml:space="preserve">Gejala bisa masuk lebih dari satu kelas, atau kelas pada label tampak keliru.</t>
  </si>
  <si>
    <t xml:space="preserve">Objek bukan daun</t>
  </si>
  <si>
    <t xml:space="preserve">Kotak menandai batang, umbi, atau bagian tanaman lain selain daun (misalnya lesi CBSD pada batang).</t>
  </si>
  <si>
    <t xml:space="preserve">Kotak tidak presisi</t>
  </si>
  <si>
    <t xml:space="preserve">Objek dan kelasnya benar, tetapi kotak terlalu longgar, terlalu sempit, atau bergeser.</t>
  </si>
  <si>
    <t xml:space="preserve">Artefak citra</t>
  </si>
  <si>
    <t xml:space="preserve">Citra buram, terlalu gelap/terang, tertutup bayangan, terpotong, atau ada isian hitam hasil rotasi yang mengganggu.</t>
  </si>
  <si>
    <t xml:space="preserve">Benar-benar sulit</t>
  </si>
  <si>
    <t xml:space="preserve">Label tampak benar dan lengkap, tetapi gejala kecil, samar, atau tertutup kanopi padat.</t>
  </si>
  <si>
    <t xml:space="preserve">Tidak ada masalah</t>
  </si>
  <si>
    <t xml:space="preserve">Label benar, lengkap, dan citra tidak tampak sulit.</t>
  </si>
  <si>
    <t xml:space="preserve">Lainnya</t>
  </si>
  <si>
    <t xml:space="preserve">Tidak cocok dengan kategori di atas; jelaskan di kolom Catatan.</t>
  </si>
  <si>
    <t xml:space="preserve">Kolom lain</t>
  </si>
  <si>
    <t xml:space="preserve">Objek bergejala tak berlabel</t>
  </si>
  <si>
    <t xml:space="preserve">Perkiraan jumlah objek yang seharusnya diberi kotak tetapi tidak: 0, 1-2, 3-5, &gt;5.</t>
  </si>
  <si>
    <t xml:space="preserve">Kelas label sesuai?</t>
  </si>
  <si>
    <t xml:space="preserve">Apakah kelas pada kotak-kotak yang ada sesuai gejala: Ya, Sebagian, Tidak, Ragu.</t>
  </si>
  <si>
    <t xml:space="preserve">Kotak presisi?</t>
  </si>
  <si>
    <t xml:space="preserve">Apakah batas kotak pas dengan objeknya: Ya, Sebagian, Tidak, Ragu.</t>
  </si>
  <si>
    <t xml:space="preserve">Contoh pengisian (bukan data)</t>
  </si>
  <si>
    <t xml:space="preserve">Kategori utama</t>
  </si>
  <si>
    <t xml:space="preserve">Kategori tambahan (opsional)</t>
  </si>
  <si>
    <t xml:space="preserve">Objek bergejala tak berlabel (perkiraan)</t>
  </si>
  <si>
    <t xml:space="preserve">3-5</t>
  </si>
  <si>
    <t xml:space="preserve">Ya</t>
  </si>
  <si>
    <t xml:space="preserve">Sebagian</t>
  </si>
  <si>
    <t xml:space="preserve">Catatan (sebut nomor kotak bila perlu)</t>
  </si>
  <si>
    <t xml:space="preserve">Hanya 2 dari ~6 daun bergejala dilabeli; kotak 2 terlalu longgar.</t>
  </si>
  <si>
    <t xml:space="preserve">No</t>
  </si>
  <si>
    <t xml:space="preserve">Kode</t>
  </si>
  <si>
    <t xml:space="preserve">Gambar</t>
  </si>
  <si>
    <t xml:space="preserve">Jumlah kotak</t>
  </si>
  <si>
    <t xml:space="preserve">Kelas pada label</t>
  </si>
  <si>
    <t xml:space="preserve">A007</t>
  </si>
  <si>
    <t xml:space="preserve">Buka</t>
  </si>
  <si>
    <t xml:space="preserve">CMD x1</t>
  </si>
  <si>
    <t xml:space="preserve">A009</t>
  </si>
  <si>
    <t xml:space="preserve">CMD x2</t>
  </si>
  <si>
    <t xml:space="preserve">A010</t>
  </si>
  <si>
    <t xml:space="preserve">A011</t>
  </si>
  <si>
    <t xml:space="preserve">A013</t>
  </si>
  <si>
    <t xml:space="preserve">A015</t>
  </si>
  <si>
    <t xml:space="preserve">CBSD x1</t>
  </si>
  <si>
    <t xml:space="preserve">A016</t>
  </si>
  <si>
    <t xml:space="preserve">CBSD x3</t>
  </si>
  <si>
    <t xml:space="preserve">A017</t>
  </si>
  <si>
    <t xml:space="preserve">CBB x1</t>
  </si>
  <si>
    <t xml:space="preserve">A027</t>
  </si>
  <si>
    <t xml:space="preserve">CBB x2</t>
  </si>
  <si>
    <t xml:space="preserve">A029</t>
  </si>
  <si>
    <t xml:space="preserve">A041</t>
  </si>
  <si>
    <t xml:space="preserve">A044</t>
  </si>
  <si>
    <t xml:space="preserve">A046</t>
  </si>
  <si>
    <t xml:space="preserve">A067</t>
  </si>
  <si>
    <t xml:space="preserve">CGM x2</t>
  </si>
  <si>
    <t xml:space="preserve">A072</t>
  </si>
  <si>
    <t xml:space="preserve">A075</t>
  </si>
  <si>
    <t xml:space="preserve">HEALTHY x1</t>
  </si>
  <si>
    <t xml:space="preserve">A085</t>
  </si>
  <si>
    <t xml:space="preserve">A088</t>
  </si>
  <si>
    <t xml:space="preserve">A090</t>
  </si>
  <si>
    <t xml:space="preserve">A100</t>
  </si>
  <si>
    <t xml:space="preserve">CGM x1</t>
  </si>
  <si>
    <t xml:space="preserve">A105</t>
  </si>
  <si>
    <t xml:space="preserve">HEALTHY x3</t>
  </si>
  <si>
    <t xml:space="preserve">A106</t>
  </si>
  <si>
    <t xml:space="preserve">HEALTHY x2</t>
  </si>
  <si>
    <t xml:space="preserve">A108</t>
  </si>
  <si>
    <t xml:space="preserve">A112</t>
  </si>
  <si>
    <t xml:space="preserve">A119</t>
  </si>
  <si>
    <t xml:space="preserve">A122</t>
  </si>
  <si>
    <t xml:space="preserve">A128</t>
  </si>
  <si>
    <t xml:space="preserve">A141</t>
  </si>
  <si>
    <t xml:space="preserve">CGM x3</t>
  </si>
  <si>
    <t xml:space="preserve">A144</t>
  </si>
  <si>
    <t xml:space="preserve">CMD x12</t>
  </si>
  <si>
    <t xml:space="preserve">A147</t>
  </si>
  <si>
    <t xml:space="preserve">CMD x5</t>
  </si>
  <si>
    <t xml:space="preserve">Ringkasan pengisian</t>
  </si>
  <si>
    <t xml:space="preserve">Jumlah</t>
  </si>
  <si>
    <t xml:space="preserve">Citra dinilai</t>
  </si>
  <si>
    <t xml:space="preserve">Citra total</t>
  </si>
  <si>
    <t xml:space="preserve">Selesai</t>
  </si>
  <si>
    <t xml:space="preserve">Hitungan per strata baru dibuat setelah audit selesai (lihat _kunci/audit_key.csv).</t>
  </si>
  <si>
    <t xml:space="preserve">TakBerlabel</t>
  </si>
  <si>
    <t xml:space="preserve">YaTidak</t>
  </si>
  <si>
    <t xml:space="preserve">0</t>
  </si>
  <si>
    <t xml:space="preserve">1-2</t>
  </si>
  <si>
    <t xml:space="preserve">Tidak</t>
  </si>
  <si>
    <t xml:space="preserve">&gt;5</t>
  </si>
  <si>
    <t xml:space="preserve">Ragu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</si>
</sst>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597"/>
        <bgColor rgb="FF0563C1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2F559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E2EF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gambar/A007.jpg" TargetMode="External"/><Relationship Id="rId2" Type="http://schemas.openxmlformats.org/officeDocument/2006/relationships/hyperlink" Target="gambar/A009.jpg" TargetMode="External"/><Relationship Id="rId3" Type="http://schemas.openxmlformats.org/officeDocument/2006/relationships/hyperlink" Target="gambar/A010.jpg" TargetMode="External"/><Relationship Id="rId4" Type="http://schemas.openxmlformats.org/officeDocument/2006/relationships/hyperlink" Target="gambar/A011.jpg" TargetMode="External"/><Relationship Id="rId5" Type="http://schemas.openxmlformats.org/officeDocument/2006/relationships/hyperlink" Target="gambar/A013.jpg" TargetMode="External"/><Relationship Id="rId6" Type="http://schemas.openxmlformats.org/officeDocument/2006/relationships/hyperlink" Target="gambar/A015.jpg" TargetMode="External"/><Relationship Id="rId7" Type="http://schemas.openxmlformats.org/officeDocument/2006/relationships/hyperlink" Target="gambar/A016.jpg" TargetMode="External"/><Relationship Id="rId8" Type="http://schemas.openxmlformats.org/officeDocument/2006/relationships/hyperlink" Target="gambar/A017.jpg" TargetMode="External"/><Relationship Id="rId9" Type="http://schemas.openxmlformats.org/officeDocument/2006/relationships/hyperlink" Target="gambar/A027.jpg" TargetMode="External"/><Relationship Id="rId10" Type="http://schemas.openxmlformats.org/officeDocument/2006/relationships/hyperlink" Target="gambar/A029.jpg" TargetMode="External"/><Relationship Id="rId11" Type="http://schemas.openxmlformats.org/officeDocument/2006/relationships/hyperlink" Target="gambar/A041.jpg" TargetMode="External"/><Relationship Id="rId12" Type="http://schemas.openxmlformats.org/officeDocument/2006/relationships/hyperlink" Target="gambar/A044.jpg" TargetMode="External"/><Relationship Id="rId13" Type="http://schemas.openxmlformats.org/officeDocument/2006/relationships/hyperlink" Target="gambar/A046.jpg" TargetMode="External"/><Relationship Id="rId14" Type="http://schemas.openxmlformats.org/officeDocument/2006/relationships/hyperlink" Target="gambar/A067.jpg" TargetMode="External"/><Relationship Id="rId15" Type="http://schemas.openxmlformats.org/officeDocument/2006/relationships/hyperlink" Target="gambar/A072.jpg" TargetMode="External"/><Relationship Id="rId16" Type="http://schemas.openxmlformats.org/officeDocument/2006/relationships/hyperlink" Target="gambar/A075.jpg" TargetMode="External"/><Relationship Id="rId17" Type="http://schemas.openxmlformats.org/officeDocument/2006/relationships/hyperlink" Target="gambar/A085.jpg" TargetMode="External"/><Relationship Id="rId18" Type="http://schemas.openxmlformats.org/officeDocument/2006/relationships/hyperlink" Target="gambar/A088.jpg" TargetMode="External"/><Relationship Id="rId19" Type="http://schemas.openxmlformats.org/officeDocument/2006/relationships/hyperlink" Target="gambar/A090.jpg" TargetMode="External"/><Relationship Id="rId20" Type="http://schemas.openxmlformats.org/officeDocument/2006/relationships/hyperlink" Target="gambar/A100.jpg" TargetMode="External"/><Relationship Id="rId21" Type="http://schemas.openxmlformats.org/officeDocument/2006/relationships/hyperlink" Target="gambar/A105.jpg" TargetMode="External"/><Relationship Id="rId22" Type="http://schemas.openxmlformats.org/officeDocument/2006/relationships/hyperlink" Target="gambar/A106.jpg" TargetMode="External"/><Relationship Id="rId23" Type="http://schemas.openxmlformats.org/officeDocument/2006/relationships/hyperlink" Target="gambar/A108.jpg" TargetMode="External"/><Relationship Id="rId24" Type="http://schemas.openxmlformats.org/officeDocument/2006/relationships/hyperlink" Target="gambar/A112.jpg" TargetMode="External"/><Relationship Id="rId25" Type="http://schemas.openxmlformats.org/officeDocument/2006/relationships/hyperlink" Target="gambar/A119.jpg" TargetMode="External"/><Relationship Id="rId26" Type="http://schemas.openxmlformats.org/officeDocument/2006/relationships/hyperlink" Target="gambar/A122.jpg" TargetMode="External"/><Relationship Id="rId27" Type="http://schemas.openxmlformats.org/officeDocument/2006/relationships/hyperlink" Target="gambar/A128.jpg" TargetMode="External"/><Relationship Id="rId28" Type="http://schemas.openxmlformats.org/officeDocument/2006/relationships/hyperlink" Target="gambar/A141.jpg" TargetMode="External"/><Relationship Id="rId29" Type="http://schemas.openxmlformats.org/officeDocument/2006/relationships/hyperlink" Target="gambar/A144.jpg" TargetMode="External"/><Relationship Id="rId30" Type="http://schemas.openxmlformats.org/officeDocument/2006/relationships/hyperlink" Target="gambar/A147.jpg" TargetMode="External"/><Relationship Id="rId3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95"/>
  </cols>
  <sheetData>
    <row r="1" customFormat="false" ht="16.15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</row>
    <row r="3" customFormat="false" ht="15" hidden="false" customHeight="false" outlineLevel="0" collapsed="false">
      <c r="A3" s="3" t="s">
        <v>2</v>
      </c>
      <c r="B3" s="4" t="s">
        <v>3</v>
      </c>
    </row>
    <row r="4" customFormat="false" ht="15" hidden="false" customHeight="false" outlineLevel="0" collapsed="false">
      <c r="A4" s="3"/>
      <c r="B4" s="4" t="s">
        <v>4</v>
      </c>
    </row>
    <row r="5" customFormat="false" ht="15" hidden="false" customHeight="false" outlineLevel="0" collapsed="false">
      <c r="A5" s="3"/>
      <c r="B5" s="4" t="s">
        <v>5</v>
      </c>
    </row>
    <row r="6" customFormat="false" ht="15" hidden="false" customHeight="false" outlineLevel="0" collapsed="false">
      <c r="A6" s="3"/>
      <c r="B6" s="4" t="s">
        <v>6</v>
      </c>
    </row>
    <row r="7" customFormat="false" ht="15" hidden="false" customHeight="false" outlineLevel="0" collapsed="false">
      <c r="A7" s="3"/>
      <c r="B7" s="4" t="s">
        <v>7</v>
      </c>
    </row>
    <row r="8" customFormat="false" ht="15" hidden="false" customHeight="false" outlineLevel="0" collapsed="false">
      <c r="A8" s="5" t="s">
        <v>8</v>
      </c>
    </row>
    <row r="9" customFormat="false" ht="15" hidden="false" customHeight="false" outlineLevel="0" collapsed="false">
      <c r="A9" s="6" t="s">
        <v>9</v>
      </c>
      <c r="B9" s="6" t="s">
        <v>10</v>
      </c>
    </row>
    <row r="10" customFormat="false" ht="15" hidden="false" customHeight="false" outlineLevel="0" collapsed="false">
      <c r="A10" s="7" t="s">
        <v>11</v>
      </c>
      <c r="B10" s="7" t="s">
        <v>12</v>
      </c>
    </row>
    <row r="11" customFormat="false" ht="15" hidden="false" customHeight="false" outlineLevel="0" collapsed="false">
      <c r="A11" s="7" t="s">
        <v>13</v>
      </c>
      <c r="B11" s="7" t="s">
        <v>14</v>
      </c>
    </row>
    <row r="12" customFormat="false" ht="15" hidden="false" customHeight="false" outlineLevel="0" collapsed="false">
      <c r="A12" s="7" t="s">
        <v>15</v>
      </c>
      <c r="B12" s="7" t="s">
        <v>16</v>
      </c>
    </row>
    <row r="13" customFormat="false" ht="15" hidden="false" customHeight="false" outlineLevel="0" collapsed="false">
      <c r="A13" s="7" t="s">
        <v>17</v>
      </c>
      <c r="B13" s="7" t="s">
        <v>18</v>
      </c>
    </row>
    <row r="14" customFormat="false" ht="15" hidden="false" customHeight="false" outlineLevel="0" collapsed="false">
      <c r="A14" s="7" t="s">
        <v>19</v>
      </c>
      <c r="B14" s="7" t="s">
        <v>20</v>
      </c>
    </row>
    <row r="15" customFormat="false" ht="15" hidden="false" customHeight="false" outlineLevel="0" collapsed="false">
      <c r="A15" s="7" t="s">
        <v>21</v>
      </c>
      <c r="B15" s="7" t="s">
        <v>22</v>
      </c>
    </row>
    <row r="16" customFormat="false" ht="15" hidden="false" customHeight="false" outlineLevel="0" collapsed="false">
      <c r="A16" s="7" t="s">
        <v>23</v>
      </c>
      <c r="B16" s="7" t="s">
        <v>24</v>
      </c>
    </row>
    <row r="17" customFormat="false" ht="15" hidden="false" customHeight="false" outlineLevel="0" collapsed="false">
      <c r="A17" s="7" t="s">
        <v>25</v>
      </c>
      <c r="B17" s="7" t="s">
        <v>26</v>
      </c>
    </row>
    <row r="18" customFormat="false" ht="15" hidden="false" customHeight="false" outlineLevel="0" collapsed="false">
      <c r="A18" s="7" t="s">
        <v>27</v>
      </c>
      <c r="B18" s="7" t="s">
        <v>28</v>
      </c>
    </row>
    <row r="20" customFormat="false" ht="15" hidden="false" customHeight="false" outlineLevel="0" collapsed="false">
      <c r="A20" s="5" t="s">
        <v>29</v>
      </c>
    </row>
    <row r="21" customFormat="false" ht="15" hidden="false" customHeight="false" outlineLevel="0" collapsed="false">
      <c r="A21" s="3" t="s">
        <v>30</v>
      </c>
      <c r="B21" s="3" t="s">
        <v>31</v>
      </c>
    </row>
    <row r="22" customFormat="false" ht="15" hidden="false" customHeight="false" outlineLevel="0" collapsed="false">
      <c r="A22" s="3" t="s">
        <v>32</v>
      </c>
      <c r="B22" s="3" t="s">
        <v>33</v>
      </c>
    </row>
    <row r="23" customFormat="false" ht="15" hidden="false" customHeight="false" outlineLevel="0" collapsed="false">
      <c r="A23" s="3" t="s">
        <v>34</v>
      </c>
      <c r="B23" s="3" t="s">
        <v>35</v>
      </c>
    </row>
    <row r="25" customFormat="false" ht="15" hidden="false" customHeight="false" outlineLevel="0" collapsed="false">
      <c r="A25" s="5" t="s">
        <v>36</v>
      </c>
    </row>
    <row r="26" customFormat="false" ht="15" hidden="false" customHeight="false" outlineLevel="0" collapsed="false">
      <c r="A26" s="3" t="s">
        <v>37</v>
      </c>
      <c r="B26" s="8" t="s">
        <v>11</v>
      </c>
    </row>
    <row r="27" customFormat="false" ht="15" hidden="false" customHeight="false" outlineLevel="0" collapsed="false">
      <c r="A27" s="3" t="s">
        <v>38</v>
      </c>
      <c r="B27" s="8" t="s">
        <v>23</v>
      </c>
    </row>
    <row r="28" customFormat="false" ht="15" hidden="false" customHeight="false" outlineLevel="0" collapsed="false">
      <c r="A28" s="3" t="s">
        <v>39</v>
      </c>
      <c r="B28" s="8" t="s">
        <v>40</v>
      </c>
    </row>
    <row r="29" customFormat="false" ht="15" hidden="false" customHeight="false" outlineLevel="0" collapsed="false">
      <c r="A29" s="3" t="s">
        <v>32</v>
      </c>
      <c r="B29" s="8" t="s">
        <v>41</v>
      </c>
    </row>
    <row r="30" customFormat="false" ht="15" hidden="false" customHeight="false" outlineLevel="0" collapsed="false">
      <c r="A30" s="3" t="s">
        <v>34</v>
      </c>
      <c r="B30" s="8" t="s">
        <v>42</v>
      </c>
    </row>
    <row r="31" customFormat="false" ht="15" hidden="false" customHeight="false" outlineLevel="0" collapsed="false">
      <c r="A31" s="3" t="s">
        <v>43</v>
      </c>
      <c r="B31" s="8" t="s">
        <v>44</v>
      </c>
    </row>
  </sheetData>
  <mergeCells count="1"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7" min="5" style="0" width="24"/>
    <col collapsed="false" customWidth="true" hidden="false" outlineLevel="0" max="8" min="8" style="0" width="15"/>
    <col collapsed="false" customWidth="true" hidden="false" outlineLevel="0" max="10" min="9" style="0" width="12"/>
    <col collapsed="false" customWidth="true" hidden="false" outlineLevel="0" max="11" min="11" style="0" width="42"/>
  </cols>
  <sheetData>
    <row r="1" customFormat="false" ht="42" hidden="false" customHeight="true" outlineLevel="0" collapsed="false">
      <c r="A1" s="6" t="s">
        <v>45</v>
      </c>
      <c r="B1" s="6" t="s">
        <v>46</v>
      </c>
      <c r="C1" s="6" t="s">
        <v>47</v>
      </c>
      <c r="D1" s="6" t="s">
        <v>48</v>
      </c>
      <c r="E1" s="6" t="s">
        <v>49</v>
      </c>
      <c r="F1" s="6" t="s">
        <v>37</v>
      </c>
      <c r="G1" s="6" t="s">
        <v>38</v>
      </c>
      <c r="H1" s="6" t="s">
        <v>39</v>
      </c>
      <c r="I1" s="6" t="s">
        <v>32</v>
      </c>
      <c r="J1" s="6" t="s">
        <v>34</v>
      </c>
      <c r="K1" s="6" t="s">
        <v>43</v>
      </c>
    </row>
    <row r="2" customFormat="false" ht="15" hidden="false" customHeight="false" outlineLevel="0" collapsed="false">
      <c r="A2" s="7" t="n">
        <v>1</v>
      </c>
      <c r="B2" s="7" t="s">
        <v>50</v>
      </c>
      <c r="C2" s="9" t="s">
        <v>51</v>
      </c>
      <c r="D2" s="7" t="n">
        <v>1</v>
      </c>
      <c r="E2" s="7" t="s">
        <v>52</v>
      </c>
      <c r="F2" s="10"/>
      <c r="G2" s="10"/>
      <c r="H2" s="10"/>
      <c r="I2" s="10"/>
      <c r="J2" s="10"/>
      <c r="K2" s="10"/>
    </row>
    <row r="3" customFormat="false" ht="15" hidden="false" customHeight="false" outlineLevel="0" collapsed="false">
      <c r="A3" s="7" t="n">
        <v>2</v>
      </c>
      <c r="B3" s="7" t="s">
        <v>53</v>
      </c>
      <c r="C3" s="9" t="s">
        <v>51</v>
      </c>
      <c r="D3" s="7" t="n">
        <v>2</v>
      </c>
      <c r="E3" s="7" t="s">
        <v>54</v>
      </c>
      <c r="F3" s="10"/>
      <c r="G3" s="10"/>
      <c r="H3" s="10"/>
      <c r="I3" s="10"/>
      <c r="J3" s="10"/>
      <c r="K3" s="10"/>
    </row>
    <row r="4" customFormat="false" ht="15" hidden="false" customHeight="false" outlineLevel="0" collapsed="false">
      <c r="A4" s="7" t="n">
        <v>3</v>
      </c>
      <c r="B4" s="7" t="s">
        <v>55</v>
      </c>
      <c r="C4" s="9" t="s">
        <v>51</v>
      </c>
      <c r="D4" s="7" t="n">
        <v>1</v>
      </c>
      <c r="E4" s="7" t="s">
        <v>52</v>
      </c>
      <c r="F4" s="10"/>
      <c r="G4" s="10"/>
      <c r="H4" s="10"/>
      <c r="I4" s="10"/>
      <c r="J4" s="10"/>
      <c r="K4" s="10"/>
    </row>
    <row r="5" customFormat="false" ht="15" hidden="false" customHeight="false" outlineLevel="0" collapsed="false">
      <c r="A5" s="7" t="n">
        <v>4</v>
      </c>
      <c r="B5" s="7" t="s">
        <v>56</v>
      </c>
      <c r="C5" s="9" t="s">
        <v>51</v>
      </c>
      <c r="D5" s="7" t="n">
        <v>1</v>
      </c>
      <c r="E5" s="7" t="s">
        <v>52</v>
      </c>
      <c r="F5" s="10"/>
      <c r="G5" s="10"/>
      <c r="H5" s="10"/>
      <c r="I5" s="10"/>
      <c r="J5" s="10"/>
      <c r="K5" s="10"/>
    </row>
    <row r="6" customFormat="false" ht="15" hidden="false" customHeight="false" outlineLevel="0" collapsed="false">
      <c r="A6" s="7" t="n">
        <v>5</v>
      </c>
      <c r="B6" s="7" t="s">
        <v>57</v>
      </c>
      <c r="C6" s="9" t="s">
        <v>51</v>
      </c>
      <c r="D6" s="7" t="n">
        <v>1</v>
      </c>
      <c r="E6" s="7" t="s">
        <v>52</v>
      </c>
      <c r="F6" s="10"/>
      <c r="G6" s="10"/>
      <c r="H6" s="10"/>
      <c r="I6" s="10"/>
      <c r="J6" s="10"/>
      <c r="K6" s="10"/>
    </row>
    <row r="7" customFormat="false" ht="15" hidden="false" customHeight="false" outlineLevel="0" collapsed="false">
      <c r="A7" s="7" t="n">
        <v>6</v>
      </c>
      <c r="B7" s="7" t="s">
        <v>58</v>
      </c>
      <c r="C7" s="9" t="s">
        <v>51</v>
      </c>
      <c r="D7" s="7" t="n">
        <v>1</v>
      </c>
      <c r="E7" s="7" t="s">
        <v>59</v>
      </c>
      <c r="F7" s="10"/>
      <c r="G7" s="10"/>
      <c r="H7" s="10"/>
      <c r="I7" s="10"/>
      <c r="J7" s="10"/>
      <c r="K7" s="10"/>
    </row>
    <row r="8" customFormat="false" ht="15" hidden="false" customHeight="false" outlineLevel="0" collapsed="false">
      <c r="A8" s="7" t="n">
        <v>7</v>
      </c>
      <c r="B8" s="7" t="s">
        <v>60</v>
      </c>
      <c r="C8" s="9" t="s">
        <v>51</v>
      </c>
      <c r="D8" s="7" t="n">
        <v>3</v>
      </c>
      <c r="E8" s="7" t="s">
        <v>61</v>
      </c>
      <c r="F8" s="10"/>
      <c r="G8" s="10"/>
      <c r="H8" s="10"/>
      <c r="I8" s="10"/>
      <c r="J8" s="10"/>
      <c r="K8" s="10"/>
    </row>
    <row r="9" customFormat="false" ht="15" hidden="false" customHeight="false" outlineLevel="0" collapsed="false">
      <c r="A9" s="7" t="n">
        <v>8</v>
      </c>
      <c r="B9" s="7" t="s">
        <v>62</v>
      </c>
      <c r="C9" s="9" t="s">
        <v>51</v>
      </c>
      <c r="D9" s="7" t="n">
        <v>1</v>
      </c>
      <c r="E9" s="7" t="s">
        <v>63</v>
      </c>
      <c r="F9" s="10"/>
      <c r="G9" s="10"/>
      <c r="H9" s="10"/>
      <c r="I9" s="10"/>
      <c r="J9" s="10"/>
      <c r="K9" s="10"/>
    </row>
    <row r="10" customFormat="false" ht="15" hidden="false" customHeight="false" outlineLevel="0" collapsed="false">
      <c r="A10" s="7" t="n">
        <v>9</v>
      </c>
      <c r="B10" s="7" t="s">
        <v>64</v>
      </c>
      <c r="C10" s="9" t="s">
        <v>51</v>
      </c>
      <c r="D10" s="7" t="n">
        <v>2</v>
      </c>
      <c r="E10" s="7" t="s">
        <v>65</v>
      </c>
      <c r="F10" s="10"/>
      <c r="G10" s="10"/>
      <c r="H10" s="10"/>
      <c r="I10" s="10"/>
      <c r="J10" s="10"/>
      <c r="K10" s="10"/>
    </row>
    <row r="11" customFormat="false" ht="15" hidden="false" customHeight="false" outlineLevel="0" collapsed="false">
      <c r="A11" s="7" t="n">
        <v>10</v>
      </c>
      <c r="B11" s="7" t="s">
        <v>66</v>
      </c>
      <c r="C11" s="9" t="s">
        <v>51</v>
      </c>
      <c r="D11" s="7" t="n">
        <v>1</v>
      </c>
      <c r="E11" s="7" t="s">
        <v>52</v>
      </c>
      <c r="F11" s="10"/>
      <c r="G11" s="10"/>
      <c r="H11" s="10"/>
      <c r="I11" s="10"/>
      <c r="J11" s="10"/>
      <c r="K11" s="10"/>
    </row>
    <row r="12" customFormat="false" ht="15" hidden="false" customHeight="false" outlineLevel="0" collapsed="false">
      <c r="A12" s="7" t="n">
        <v>11</v>
      </c>
      <c r="B12" s="7" t="s">
        <v>67</v>
      </c>
      <c r="C12" s="9" t="s">
        <v>51</v>
      </c>
      <c r="D12" s="7" t="n">
        <v>1</v>
      </c>
      <c r="E12" s="7" t="s">
        <v>63</v>
      </c>
      <c r="F12" s="10"/>
      <c r="G12" s="10"/>
      <c r="H12" s="10"/>
      <c r="I12" s="10"/>
      <c r="J12" s="10"/>
      <c r="K12" s="10"/>
    </row>
    <row r="13" customFormat="false" ht="15" hidden="false" customHeight="false" outlineLevel="0" collapsed="false">
      <c r="A13" s="7" t="n">
        <v>12</v>
      </c>
      <c r="B13" s="7" t="s">
        <v>68</v>
      </c>
      <c r="C13" s="9" t="s">
        <v>51</v>
      </c>
      <c r="D13" s="7" t="n">
        <v>1</v>
      </c>
      <c r="E13" s="7" t="s">
        <v>59</v>
      </c>
      <c r="F13" s="10"/>
      <c r="G13" s="10"/>
      <c r="H13" s="10"/>
      <c r="I13" s="10"/>
      <c r="J13" s="10"/>
      <c r="K13" s="10"/>
    </row>
    <row r="14" customFormat="false" ht="15" hidden="false" customHeight="false" outlineLevel="0" collapsed="false">
      <c r="A14" s="7" t="n">
        <v>13</v>
      </c>
      <c r="B14" s="7" t="s">
        <v>69</v>
      </c>
      <c r="C14" s="9" t="s">
        <v>51</v>
      </c>
      <c r="D14" s="7" t="n">
        <v>1</v>
      </c>
      <c r="E14" s="7" t="s">
        <v>59</v>
      </c>
      <c r="F14" s="10"/>
      <c r="G14" s="10"/>
      <c r="H14" s="10"/>
      <c r="I14" s="10"/>
      <c r="J14" s="10"/>
      <c r="K14" s="10"/>
    </row>
    <row r="15" customFormat="false" ht="15" hidden="false" customHeight="false" outlineLevel="0" collapsed="false">
      <c r="A15" s="7" t="n">
        <v>14</v>
      </c>
      <c r="B15" s="7" t="s">
        <v>70</v>
      </c>
      <c r="C15" s="9" t="s">
        <v>51</v>
      </c>
      <c r="D15" s="7" t="n">
        <v>2</v>
      </c>
      <c r="E15" s="7" t="s">
        <v>71</v>
      </c>
      <c r="F15" s="10"/>
      <c r="G15" s="10"/>
      <c r="H15" s="10"/>
      <c r="I15" s="10"/>
      <c r="J15" s="10"/>
      <c r="K15" s="10"/>
    </row>
    <row r="16" customFormat="false" ht="15" hidden="false" customHeight="false" outlineLevel="0" collapsed="false">
      <c r="A16" s="7" t="n">
        <v>15</v>
      </c>
      <c r="B16" s="7" t="s">
        <v>72</v>
      </c>
      <c r="C16" s="9" t="s">
        <v>51</v>
      </c>
      <c r="D16" s="7" t="n">
        <v>3</v>
      </c>
      <c r="E16" s="7" t="s">
        <v>61</v>
      </c>
      <c r="F16" s="10"/>
      <c r="G16" s="10"/>
      <c r="H16" s="10"/>
      <c r="I16" s="10"/>
      <c r="J16" s="10"/>
      <c r="K16" s="10"/>
    </row>
    <row r="17" customFormat="false" ht="15" hidden="false" customHeight="false" outlineLevel="0" collapsed="false">
      <c r="A17" s="7" t="n">
        <v>16</v>
      </c>
      <c r="B17" s="7" t="s">
        <v>73</v>
      </c>
      <c r="C17" s="9" t="s">
        <v>51</v>
      </c>
      <c r="D17" s="7" t="n">
        <v>1</v>
      </c>
      <c r="E17" s="7" t="s">
        <v>74</v>
      </c>
      <c r="F17" s="10"/>
      <c r="G17" s="10"/>
      <c r="H17" s="10"/>
      <c r="I17" s="10"/>
      <c r="J17" s="10"/>
      <c r="K17" s="10"/>
    </row>
    <row r="18" customFormat="false" ht="15" hidden="false" customHeight="false" outlineLevel="0" collapsed="false">
      <c r="A18" s="7" t="n">
        <v>17</v>
      </c>
      <c r="B18" s="7" t="s">
        <v>75</v>
      </c>
      <c r="C18" s="9" t="s">
        <v>51</v>
      </c>
      <c r="D18" s="7" t="n">
        <v>1</v>
      </c>
      <c r="E18" s="7" t="s">
        <v>63</v>
      </c>
      <c r="F18" s="10"/>
      <c r="G18" s="10"/>
      <c r="H18" s="10"/>
      <c r="I18" s="10"/>
      <c r="J18" s="10"/>
      <c r="K18" s="10"/>
    </row>
    <row r="19" customFormat="false" ht="15" hidden="false" customHeight="false" outlineLevel="0" collapsed="false">
      <c r="A19" s="7" t="n">
        <v>18</v>
      </c>
      <c r="B19" s="7" t="s">
        <v>76</v>
      </c>
      <c r="C19" s="9" t="s">
        <v>51</v>
      </c>
      <c r="D19" s="7" t="n">
        <v>2</v>
      </c>
      <c r="E19" s="7" t="s">
        <v>71</v>
      </c>
      <c r="F19" s="10"/>
      <c r="G19" s="10"/>
      <c r="H19" s="10"/>
      <c r="I19" s="10"/>
      <c r="J19" s="10"/>
      <c r="K19" s="10"/>
    </row>
    <row r="20" customFormat="false" ht="15" hidden="false" customHeight="false" outlineLevel="0" collapsed="false">
      <c r="A20" s="7" t="n">
        <v>19</v>
      </c>
      <c r="B20" s="7" t="s">
        <v>77</v>
      </c>
      <c r="C20" s="9" t="s">
        <v>51</v>
      </c>
      <c r="D20" s="7" t="n">
        <v>1</v>
      </c>
      <c r="E20" s="7" t="s">
        <v>74</v>
      </c>
      <c r="F20" s="10"/>
      <c r="G20" s="10"/>
      <c r="H20" s="10"/>
      <c r="I20" s="10"/>
      <c r="J20" s="10"/>
      <c r="K20" s="10"/>
    </row>
    <row r="21" customFormat="false" ht="15" hidden="false" customHeight="false" outlineLevel="0" collapsed="false">
      <c r="A21" s="7" t="n">
        <v>20</v>
      </c>
      <c r="B21" s="7" t="s">
        <v>78</v>
      </c>
      <c r="C21" s="9" t="s">
        <v>51</v>
      </c>
      <c r="D21" s="7" t="n">
        <v>1</v>
      </c>
      <c r="E21" s="7" t="s">
        <v>79</v>
      </c>
      <c r="F21" s="10"/>
      <c r="G21" s="10"/>
      <c r="H21" s="10"/>
      <c r="I21" s="10"/>
      <c r="J21" s="10"/>
      <c r="K21" s="10"/>
    </row>
    <row r="22" customFormat="false" ht="15" hidden="false" customHeight="false" outlineLevel="0" collapsed="false">
      <c r="A22" s="7" t="n">
        <v>21</v>
      </c>
      <c r="B22" s="7" t="s">
        <v>80</v>
      </c>
      <c r="C22" s="9" t="s">
        <v>51</v>
      </c>
      <c r="D22" s="7" t="n">
        <v>3</v>
      </c>
      <c r="E22" s="7" t="s">
        <v>81</v>
      </c>
      <c r="F22" s="10"/>
      <c r="G22" s="10"/>
      <c r="H22" s="10"/>
      <c r="I22" s="10"/>
      <c r="J22" s="10"/>
      <c r="K22" s="10"/>
    </row>
    <row r="23" customFormat="false" ht="15" hidden="false" customHeight="false" outlineLevel="0" collapsed="false">
      <c r="A23" s="7" t="n">
        <v>22</v>
      </c>
      <c r="B23" s="7" t="s">
        <v>82</v>
      </c>
      <c r="C23" s="9" t="s">
        <v>51</v>
      </c>
      <c r="D23" s="7" t="n">
        <v>2</v>
      </c>
      <c r="E23" s="7" t="s">
        <v>83</v>
      </c>
      <c r="F23" s="10"/>
      <c r="G23" s="10"/>
      <c r="H23" s="10"/>
      <c r="I23" s="10"/>
      <c r="J23" s="10"/>
      <c r="K23" s="10"/>
    </row>
    <row r="24" customFormat="false" ht="15" hidden="false" customHeight="false" outlineLevel="0" collapsed="false">
      <c r="A24" s="7" t="n">
        <v>23</v>
      </c>
      <c r="B24" s="7" t="s">
        <v>84</v>
      </c>
      <c r="C24" s="9" t="s">
        <v>51</v>
      </c>
      <c r="D24" s="7" t="n">
        <v>1</v>
      </c>
      <c r="E24" s="7" t="s">
        <v>59</v>
      </c>
      <c r="F24" s="10"/>
      <c r="G24" s="10"/>
      <c r="H24" s="10"/>
      <c r="I24" s="10"/>
      <c r="J24" s="10"/>
      <c r="K24" s="10"/>
    </row>
    <row r="25" customFormat="false" ht="15" hidden="false" customHeight="false" outlineLevel="0" collapsed="false">
      <c r="A25" s="7" t="n">
        <v>24</v>
      </c>
      <c r="B25" s="7" t="s">
        <v>85</v>
      </c>
      <c r="C25" s="9" t="s">
        <v>51</v>
      </c>
      <c r="D25" s="7" t="n">
        <v>2</v>
      </c>
      <c r="E25" s="7" t="s">
        <v>54</v>
      </c>
      <c r="F25" s="10"/>
      <c r="G25" s="10"/>
      <c r="H25" s="10"/>
      <c r="I25" s="10"/>
      <c r="J25" s="10"/>
      <c r="K25" s="10"/>
    </row>
    <row r="26" customFormat="false" ht="15" hidden="false" customHeight="false" outlineLevel="0" collapsed="false">
      <c r="A26" s="7" t="n">
        <v>25</v>
      </c>
      <c r="B26" s="7" t="s">
        <v>86</v>
      </c>
      <c r="C26" s="9" t="s">
        <v>51</v>
      </c>
      <c r="D26" s="7" t="n">
        <v>2</v>
      </c>
      <c r="E26" s="7" t="s">
        <v>83</v>
      </c>
      <c r="F26" s="10"/>
      <c r="G26" s="10"/>
      <c r="H26" s="10"/>
      <c r="I26" s="10"/>
      <c r="J26" s="10"/>
      <c r="K26" s="10"/>
    </row>
    <row r="27" customFormat="false" ht="15" hidden="false" customHeight="false" outlineLevel="0" collapsed="false">
      <c r="A27" s="7" t="n">
        <v>26</v>
      </c>
      <c r="B27" s="7" t="s">
        <v>87</v>
      </c>
      <c r="C27" s="9" t="s">
        <v>51</v>
      </c>
      <c r="D27" s="7" t="n">
        <v>1</v>
      </c>
      <c r="E27" s="7" t="s">
        <v>52</v>
      </c>
      <c r="F27" s="10"/>
      <c r="G27" s="10"/>
      <c r="H27" s="10"/>
      <c r="I27" s="10"/>
      <c r="J27" s="10"/>
      <c r="K27" s="10"/>
    </row>
    <row r="28" customFormat="false" ht="15" hidden="false" customHeight="false" outlineLevel="0" collapsed="false">
      <c r="A28" s="7" t="n">
        <v>27</v>
      </c>
      <c r="B28" s="7" t="s">
        <v>88</v>
      </c>
      <c r="C28" s="9" t="s">
        <v>51</v>
      </c>
      <c r="D28" s="7" t="n">
        <v>1</v>
      </c>
      <c r="E28" s="7" t="s">
        <v>59</v>
      </c>
      <c r="F28" s="10"/>
      <c r="G28" s="10"/>
      <c r="H28" s="10"/>
      <c r="I28" s="10"/>
      <c r="J28" s="10"/>
      <c r="K28" s="10"/>
    </row>
    <row r="29" customFormat="false" ht="15" hidden="false" customHeight="false" outlineLevel="0" collapsed="false">
      <c r="A29" s="7" t="n">
        <v>28</v>
      </c>
      <c r="B29" s="7" t="s">
        <v>89</v>
      </c>
      <c r="C29" s="9" t="s">
        <v>51</v>
      </c>
      <c r="D29" s="7" t="n">
        <v>3</v>
      </c>
      <c r="E29" s="7" t="s">
        <v>90</v>
      </c>
      <c r="F29" s="10"/>
      <c r="G29" s="10"/>
      <c r="H29" s="10"/>
      <c r="I29" s="10"/>
      <c r="J29" s="10"/>
      <c r="K29" s="10"/>
    </row>
    <row r="30" customFormat="false" ht="15" hidden="false" customHeight="false" outlineLevel="0" collapsed="false">
      <c r="A30" s="7" t="n">
        <v>29</v>
      </c>
      <c r="B30" s="7" t="s">
        <v>91</v>
      </c>
      <c r="C30" s="9" t="s">
        <v>51</v>
      </c>
      <c r="D30" s="7" t="n">
        <v>12</v>
      </c>
      <c r="E30" s="7" t="s">
        <v>92</v>
      </c>
      <c r="F30" s="10"/>
      <c r="G30" s="10"/>
      <c r="H30" s="10"/>
      <c r="I30" s="10"/>
      <c r="J30" s="10"/>
      <c r="K30" s="10"/>
    </row>
    <row r="31" customFormat="false" ht="15" hidden="false" customHeight="false" outlineLevel="0" collapsed="false">
      <c r="A31" s="7" t="n">
        <v>30</v>
      </c>
      <c r="B31" s="7" t="s">
        <v>93</v>
      </c>
      <c r="C31" s="9" t="s">
        <v>51</v>
      </c>
      <c r="D31" s="7" t="n">
        <v>5</v>
      </c>
      <c r="E31" s="7" t="s">
        <v>94</v>
      </c>
      <c r="F31" s="10"/>
      <c r="G31" s="10"/>
      <c r="H31" s="10"/>
      <c r="I31" s="10"/>
      <c r="J31" s="10"/>
      <c r="K31" s="10"/>
    </row>
  </sheetData>
  <autoFilter ref="A1:K31"/>
  <conditionalFormatting sqref="A2:K31">
    <cfRule type="expression" priority="2" aboveAverage="0" equalAverage="0" bottom="0" percent="0" rank="0" text="" dxfId="5">
      <formula>$F2&lt;&gt;""</formula>
    </cfRule>
  </conditionalFormatting>
  <dataValidations count="5">
    <dataValidation allowBlank="true" error="Pilih dari daftar (klik panah di sel)." errorStyle="stop" errorTitle="Pilihan tidak dikenal" operator="between" showDropDown="false" showErrorMessage="true" showInputMessage="false" sqref="F2:F31" type="list">
      <formula1>Daftar!$A$2:$A$10</formula1>
      <formula2>0</formula2>
    </dataValidation>
    <dataValidation allowBlank="true" error="Pilih dari daftar (klik panah di sel)." errorStyle="stop" errorTitle="Pilihan tidak dikenal" operator="between" showDropDown="false" showErrorMessage="true" showInputMessage="false" sqref="G2:G31" type="list">
      <formula1>Daftar!$A$2:$A$10</formula1>
      <formula2>0</formula2>
    </dataValidation>
    <dataValidation allowBlank="true" error="Pilih dari daftar (klik panah di sel)." errorStyle="stop" errorTitle="Pilihan tidak dikenal" operator="between" showDropDown="false" showErrorMessage="true" showInputMessage="false" sqref="H2:H31" type="list">
      <formula1>Daftar!$B$2:$B$5</formula1>
      <formula2>0</formula2>
    </dataValidation>
    <dataValidation allowBlank="true" error="Pilih dari daftar (klik panah di sel)." errorStyle="stop" errorTitle="Pilihan tidak dikenal" operator="between" showDropDown="false" showErrorMessage="true" showInputMessage="false" sqref="I2:I31" type="list">
      <formula1>Daftar!$C$2:$C$5</formula1>
      <formula2>0</formula2>
    </dataValidation>
    <dataValidation allowBlank="true" error="Pilih dari daftar (klik panah di sel)." errorStyle="stop" errorTitle="Pilihan tidak dikenal" operator="between" showDropDown="false" showErrorMessage="true" showInputMessage="false" sqref="J2:J31" type="list">
      <formula1>Daftar!$C$2:$C$5</formula1>
      <formula2>0</formula2>
    </dataValidation>
  </dataValidations>
  <hyperlinks>
    <hyperlink ref="C2" r:id="rId1" display="Buka"/>
    <hyperlink ref="C3" r:id="rId2" display="Buka"/>
    <hyperlink ref="C4" r:id="rId3" display="Buka"/>
    <hyperlink ref="C5" r:id="rId4" display="Buka"/>
    <hyperlink ref="C6" r:id="rId5" display="Buka"/>
    <hyperlink ref="C7" r:id="rId6" display="Buka"/>
    <hyperlink ref="C8" r:id="rId7" display="Buka"/>
    <hyperlink ref="C9" r:id="rId8" display="Buka"/>
    <hyperlink ref="C10" r:id="rId9" display="Buka"/>
    <hyperlink ref="C11" r:id="rId10" display="Buka"/>
    <hyperlink ref="C12" r:id="rId11" display="Buka"/>
    <hyperlink ref="C13" r:id="rId12" display="Buka"/>
    <hyperlink ref="C14" r:id="rId13" display="Buka"/>
    <hyperlink ref="C15" r:id="rId14" display="Buka"/>
    <hyperlink ref="C16" r:id="rId15" display="Buka"/>
    <hyperlink ref="C17" r:id="rId16" display="Buka"/>
    <hyperlink ref="C18" r:id="rId17" display="Buka"/>
    <hyperlink ref="C19" r:id="rId18" display="Buka"/>
    <hyperlink ref="C20" r:id="rId19" display="Buka"/>
    <hyperlink ref="C21" r:id="rId20" display="Buka"/>
    <hyperlink ref="C22" r:id="rId21" display="Buka"/>
    <hyperlink ref="C23" r:id="rId22" display="Buka"/>
    <hyperlink ref="C24" r:id="rId23" display="Buka"/>
    <hyperlink ref="C25" r:id="rId24" display="Buka"/>
    <hyperlink ref="C26" r:id="rId25" display="Buka"/>
    <hyperlink ref="C27" r:id="rId26" display="Buka"/>
    <hyperlink ref="C28" r:id="rId27" display="Buka"/>
    <hyperlink ref="C29" r:id="rId28" display="Buka"/>
    <hyperlink ref="C30" r:id="rId29" display="Buka"/>
    <hyperlink ref="C31" r:id="rId30" display="Buk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6" t="s">
        <v>95</v>
      </c>
      <c r="B1" s="6" t="s">
        <v>96</v>
      </c>
    </row>
    <row r="2" customFormat="false" ht="15" hidden="false" customHeight="false" outlineLevel="0" collapsed="false">
      <c r="A2" s="3" t="s">
        <v>97</v>
      </c>
      <c r="B2" s="3" t="n">
        <f aca="false">COUNTA(Rater2!F2:F31)</f>
        <v>0</v>
      </c>
    </row>
    <row r="3" customFormat="false" ht="15" hidden="false" customHeight="false" outlineLevel="0" collapsed="false">
      <c r="A3" s="3" t="s">
        <v>98</v>
      </c>
      <c r="B3" s="3" t="n">
        <v>30</v>
      </c>
    </row>
    <row r="4" customFormat="false" ht="15" hidden="false" customHeight="false" outlineLevel="0" collapsed="false">
      <c r="A4" s="3" t="s">
        <v>99</v>
      </c>
      <c r="B4" s="11" t="n">
        <f aca="false">IF(B3=0,0,B2/B3)</f>
        <v>0</v>
      </c>
    </row>
    <row r="5" customFormat="false" ht="15" hidden="false" customHeight="false" outlineLevel="0" collapsed="false">
      <c r="A5" s="3"/>
      <c r="B5" s="3"/>
    </row>
    <row r="6" customFormat="false" ht="15" hidden="false" customHeight="false" outlineLevel="0" collapsed="false">
      <c r="A6" s="6" t="s">
        <v>37</v>
      </c>
      <c r="B6" s="6" t="s">
        <v>96</v>
      </c>
    </row>
    <row r="7" customFormat="false" ht="15" hidden="false" customHeight="false" outlineLevel="0" collapsed="false">
      <c r="A7" s="3" t="s">
        <v>11</v>
      </c>
      <c r="B7" s="3" t="n">
        <f aca="false">COUNTIF(Rater2!F2:F31,A7)</f>
        <v>0</v>
      </c>
    </row>
    <row r="8" customFormat="false" ht="15" hidden="false" customHeight="false" outlineLevel="0" collapsed="false">
      <c r="A8" s="3" t="s">
        <v>13</v>
      </c>
      <c r="B8" s="3" t="n">
        <f aca="false">COUNTIF(Rater2!F2:F31,A8)</f>
        <v>0</v>
      </c>
    </row>
    <row r="9" customFormat="false" ht="15" hidden="false" customHeight="false" outlineLevel="0" collapsed="false">
      <c r="A9" s="3" t="s">
        <v>15</v>
      </c>
      <c r="B9" s="3" t="n">
        <f aca="false">COUNTIF(Rater2!F2:F31,A9)</f>
        <v>0</v>
      </c>
    </row>
    <row r="10" customFormat="false" ht="15" hidden="false" customHeight="false" outlineLevel="0" collapsed="false">
      <c r="A10" s="3" t="s">
        <v>17</v>
      </c>
      <c r="B10" s="3" t="n">
        <f aca="false">COUNTIF(Rater2!F2:F31,A10)</f>
        <v>0</v>
      </c>
    </row>
    <row r="11" customFormat="false" ht="15" hidden="false" customHeight="false" outlineLevel="0" collapsed="false">
      <c r="A11" s="3" t="s">
        <v>19</v>
      </c>
      <c r="B11" s="3" t="n">
        <f aca="false">COUNTIF(Rater2!F2:F31,A11)</f>
        <v>0</v>
      </c>
    </row>
    <row r="12" customFormat="false" ht="15" hidden="false" customHeight="false" outlineLevel="0" collapsed="false">
      <c r="A12" s="3" t="s">
        <v>21</v>
      </c>
      <c r="B12" s="3" t="n">
        <f aca="false">COUNTIF(Rater2!F2:F31,A12)</f>
        <v>0</v>
      </c>
    </row>
    <row r="13" customFormat="false" ht="15" hidden="false" customHeight="false" outlineLevel="0" collapsed="false">
      <c r="A13" s="3" t="s">
        <v>23</v>
      </c>
      <c r="B13" s="3" t="n">
        <f aca="false">COUNTIF(Rater2!F2:F31,A13)</f>
        <v>0</v>
      </c>
    </row>
    <row r="14" customFormat="false" ht="15" hidden="false" customHeight="false" outlineLevel="0" collapsed="false">
      <c r="A14" s="3" t="s">
        <v>25</v>
      </c>
      <c r="B14" s="3" t="n">
        <f aca="false">COUNTIF(Rater2!F2:F31,A14)</f>
        <v>0</v>
      </c>
    </row>
    <row r="15" customFormat="false" ht="15" hidden="false" customHeight="false" outlineLevel="0" collapsed="false">
      <c r="A15" s="3" t="s">
        <v>27</v>
      </c>
      <c r="B15" s="3" t="n">
        <f aca="false">COUNTIF(Rater2!F2:F31,A15)</f>
        <v>0</v>
      </c>
    </row>
    <row r="16" customFormat="false" ht="15" hidden="false" customHeight="false" outlineLevel="0" collapsed="false">
      <c r="A16" s="12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3" t="s">
        <v>9</v>
      </c>
      <c r="B1" s="13" t="s">
        <v>101</v>
      </c>
      <c r="C1" s="13" t="s">
        <v>102</v>
      </c>
    </row>
    <row r="2" customFormat="false" ht="15" hidden="false" customHeight="false" outlineLevel="0" collapsed="false">
      <c r="A2" s="3" t="s">
        <v>11</v>
      </c>
      <c r="B2" s="3" t="s">
        <v>103</v>
      </c>
      <c r="C2" s="3" t="s">
        <v>41</v>
      </c>
    </row>
    <row r="3" customFormat="false" ht="15" hidden="false" customHeight="false" outlineLevel="0" collapsed="false">
      <c r="A3" s="3" t="s">
        <v>13</v>
      </c>
      <c r="B3" s="3" t="s">
        <v>104</v>
      </c>
      <c r="C3" s="3" t="s">
        <v>42</v>
      </c>
    </row>
    <row r="4" customFormat="false" ht="15" hidden="false" customHeight="false" outlineLevel="0" collapsed="false">
      <c r="A4" s="3" t="s">
        <v>15</v>
      </c>
      <c r="B4" s="3" t="s">
        <v>40</v>
      </c>
      <c r="C4" s="3" t="s">
        <v>105</v>
      </c>
    </row>
    <row r="5" customFormat="false" ht="15" hidden="false" customHeight="false" outlineLevel="0" collapsed="false">
      <c r="A5" s="3" t="s">
        <v>17</v>
      </c>
      <c r="B5" s="3" t="s">
        <v>106</v>
      </c>
      <c r="C5" s="3" t="s">
        <v>107</v>
      </c>
    </row>
    <row r="6" customFormat="false" ht="15" hidden="false" customHeight="false" outlineLevel="0" collapsed="false">
      <c r="A6" s="3" t="s">
        <v>19</v>
      </c>
    </row>
    <row r="7" customFormat="false" ht="15" hidden="false" customHeight="false" outlineLevel="0" collapsed="false">
      <c r="A7" s="3" t="s">
        <v>21</v>
      </c>
    </row>
    <row r="8" customFormat="false" ht="15" hidden="false" customHeight="false" outlineLevel="0" collapsed="false">
      <c r="A8" s="3" t="s">
        <v>23</v>
      </c>
    </row>
    <row r="9" customFormat="false" ht="15" hidden="false" customHeight="false" outlineLevel="0" collapsed="false">
      <c r="A9" s="3" t="s">
        <v>25</v>
      </c>
    </row>
    <row r="10" customFormat="false" ht="15" hidden="false" customHeight="false" outlineLevel="0" collapsed="false">
      <c r="A10" s="3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2026-10-29T09:21:36Z</dcterms:created>
  <dc:creator>openpyxl</dc:creator>
  <dc:description/>
  <dc:language>en-US</dc:language>
  <cp:lastModifiedBy/>
  <dcterms:modified xsi:type="dcterms:W3CDTF">2026-10-29T09:21:36Z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